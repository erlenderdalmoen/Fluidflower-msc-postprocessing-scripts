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erlen\Downloads\"/>
    </mc:Choice>
  </mc:AlternateContent>
  <xr:revisionPtr revIDLastSave="0" documentId="8_{5818F845-9E82-4848-BB1F-99E4ACD8D9FB}" xr6:coauthVersionLast="47" xr6:coauthVersionMax="47" xr10:uidLastSave="{00000000-0000-0000-0000-000000000000}"/>
  <bookViews>
    <workbookView xWindow="33480" yWindow="-120" windowWidth="51840" windowHeight="21240" xr2:uid="{7525B989-AD4F-4F0A-8A1D-F5B496900B11}"/>
  </bookViews>
  <sheets>
    <sheet name="Summary" sheetId="1" r:id="rId1"/>
    <sheet name="Compariso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5" i="1" l="1"/>
  <c r="C36" i="2"/>
  <c r="D36" i="2"/>
  <c r="E36" i="2"/>
  <c r="F36" i="2"/>
  <c r="G36" i="2"/>
  <c r="B36" i="2"/>
  <c r="C35" i="2"/>
  <c r="D35" i="2"/>
  <c r="E35" i="2"/>
  <c r="F35" i="2"/>
  <c r="G35" i="2"/>
  <c r="B35" i="2"/>
  <c r="B114" i="1"/>
  <c r="E113" i="1"/>
  <c r="E37" i="1"/>
  <c r="E68" i="1"/>
  <c r="E82" i="1"/>
  <c r="E98" i="1"/>
  <c r="E50" i="1"/>
  <c r="E52" i="1" s="1"/>
  <c r="E22" i="1"/>
  <c r="B9" i="1"/>
  <c r="B69" i="1"/>
  <c r="C51" i="1"/>
  <c r="E51" i="1" s="1"/>
  <c r="B99" i="1"/>
  <c r="B38" i="1"/>
  <c r="B25" i="1"/>
</calcChain>
</file>

<file path=xl/sharedStrings.xml><?xml version="1.0" encoding="utf-8"?>
<sst xmlns="http://schemas.openxmlformats.org/spreadsheetml/2006/main" count="296" uniqueCount="106">
  <si>
    <t>Experiment 1</t>
  </si>
  <si>
    <t>Description:</t>
  </si>
  <si>
    <t>Time of CO2 injection (100% rate):</t>
  </si>
  <si>
    <t>Time of CO2 injection (20% rate):</t>
  </si>
  <si>
    <t>End of CO2 injection:</t>
  </si>
  <si>
    <t>Duration</t>
  </si>
  <si>
    <t>End of experiment:</t>
  </si>
  <si>
    <t>Time</t>
  </si>
  <si>
    <t>Consentration of BTB(mM):</t>
  </si>
  <si>
    <t>Consentration of NaOH(mM):</t>
  </si>
  <si>
    <t>Date</t>
  </si>
  <si>
    <t>Experiment 3</t>
  </si>
  <si>
    <t>Experiment 2</t>
  </si>
  <si>
    <t>Experiment 7</t>
  </si>
  <si>
    <t>Experiment 6</t>
  </si>
  <si>
    <t>Experiment 5</t>
  </si>
  <si>
    <t>Experiment 4</t>
  </si>
  <si>
    <t>n/a</t>
  </si>
  <si>
    <t>PC crash, restart time:</t>
  </si>
  <si>
    <t>1 time</t>
  </si>
  <si>
    <t>Opening bubble thing:</t>
  </si>
  <si>
    <t>End of experiment(pictured stopped):</t>
  </si>
  <si>
    <t>Short due to acidic environment at the start of the experiment.</t>
  </si>
  <si>
    <t>Crashed 26.09.2025 at 17:29</t>
  </si>
  <si>
    <t>Restarted at 28.09.2025 at 23:05:00</t>
  </si>
  <si>
    <t>Only injected CO2 for 15 minutes at 100% rate as there was a signifact acidic environment above injection port.</t>
  </si>
  <si>
    <t>Tested cleaning solution with twice the concentration of NaOH (2mM). Therefore the acidic environment at the starts was almost gone (still a faint coloration above the injection port).</t>
  </si>
  <si>
    <t xml:space="preserve"> Low quality pictures.</t>
  </si>
  <si>
    <t xml:space="preserve">Used cleaning solution with 10 times original concentration (10 mM). Therefore there were no visible acidic environment at the start of the experiment. </t>
  </si>
  <si>
    <t>We connected the CO2 tubing to the valve 53s before opening the valve, therefore the pressure built up and more CO2 than usual entered at the start. We also observed that som glass beads moved because of this.</t>
  </si>
  <si>
    <t>Time (crash)</t>
  </si>
  <si>
    <t>Date (crash)</t>
  </si>
  <si>
    <t>Date (restart)</t>
  </si>
  <si>
    <t>Time (restart)</t>
  </si>
  <si>
    <t>End of experiment(last picture):</t>
  </si>
  <si>
    <t>…</t>
  </si>
  <si>
    <t xml:space="preserve">  68:09:17</t>
  </si>
  <si>
    <t>215h 58min 27sec</t>
  </si>
  <si>
    <t>Preperation to the experiment</t>
  </si>
  <si>
    <t>Experiment 8</t>
  </si>
  <si>
    <t>X = true</t>
  </si>
  <si>
    <t>Under the experiment</t>
  </si>
  <si>
    <t>NaOH concentration at 1mM</t>
  </si>
  <si>
    <t>BTB concentration 0.75mM</t>
  </si>
  <si>
    <t>BTB concentration 0.075mM</t>
  </si>
  <si>
    <t>NaOH concentration at 0.1mM</t>
  </si>
  <si>
    <t xml:space="preserve">BCG concentration at </t>
  </si>
  <si>
    <t>Baseline?</t>
  </si>
  <si>
    <t>Baseline!</t>
  </si>
  <si>
    <t>Consentration of BCG(mM):</t>
  </si>
  <si>
    <t>Experiment 9</t>
  </si>
  <si>
    <t>Experiment 10</t>
  </si>
  <si>
    <t>68hrs 24min 19sec</t>
  </si>
  <si>
    <t>68hrs 57min 39sec</t>
  </si>
  <si>
    <t>14days 1hr 49min 45sec</t>
  </si>
  <si>
    <t>Preperation before experiments:</t>
  </si>
  <si>
    <t>Used 20L cans for flushing water</t>
  </si>
  <si>
    <t>Observed clear sour enviorement before start of the experiment</t>
  </si>
  <si>
    <t>Flushed with 0.1mM  NaOH</t>
  </si>
  <si>
    <t>Flushed with 1mM  NaOH</t>
  </si>
  <si>
    <t>Flushed with 10mM  NaOH</t>
  </si>
  <si>
    <t>x</t>
  </si>
  <si>
    <t>Parameters:</t>
  </si>
  <si>
    <t>Vaccumed BTB cans for x minutes</t>
  </si>
  <si>
    <t>180min</t>
  </si>
  <si>
    <t>Vaccumed BTB cans with magnetic stirrer</t>
  </si>
  <si>
    <t>170min</t>
  </si>
  <si>
    <t>7 x 10L cans used for BTB inj, vacuumed for 170min. flushed 5 cans with 1mM NaOH and 6 cans with 0.1mM NaOH</t>
  </si>
  <si>
    <t>7 x 10L used for BTB inj, vacuumed for 180min. no need for flushing due to clean FF and no stats</t>
  </si>
  <si>
    <t>7 x 10L cans used for BTB inj, vacuumed for 170min. Flushed with 7 cans 10L with 1mM NaOH</t>
  </si>
  <si>
    <t>8 x 10L cans used for BTB inj, vacuumed for 170min. Flushed with 8 x 10L cans with 1mM NaOH</t>
  </si>
  <si>
    <t xml:space="preserve"> </t>
  </si>
  <si>
    <t>Flushed with 2mM NaOH</t>
  </si>
  <si>
    <t>Gas in the system before/in flushing period</t>
  </si>
  <si>
    <t>8 x 10L cans used for BTB inj, vaccumed for 170min. Flushed with 7 x 10L cans with 2mM NaOH</t>
  </si>
  <si>
    <t>8 x 10L cans used for BTB inj, vacuumed for 170min. Flushed with 6 x 10L cans with 2mM NaOH and 10 x 10L cans with 10mM NaOH</t>
  </si>
  <si>
    <t>inconclusive</t>
  </si>
  <si>
    <t>4 x 20L cans used for BTB inj, vacuumed for unknown min. Flushed a lot, inconclusive protocol</t>
  </si>
  <si>
    <t>300-330min</t>
  </si>
  <si>
    <r>
      <t xml:space="preserve">Injecting CO2 with 50 standard cubik centimetre per min  for 15min </t>
    </r>
    <r>
      <rPr>
        <sz val="11"/>
        <color theme="1"/>
        <rFont val="Aptos Narrow"/>
        <family val="2"/>
      </rPr>
      <t>± 15sec</t>
    </r>
  </si>
  <si>
    <t>Injecting CO2 with 10 standard cubik centimetre per min after the first 15min</t>
  </si>
  <si>
    <t>300 - 330min</t>
  </si>
  <si>
    <t xml:space="preserve">x </t>
  </si>
  <si>
    <t>Baseline</t>
  </si>
  <si>
    <t>8 x 10L cans used for BTB inj, vacuumed for 300-330min. Flushed 10 x 10L cans with 10mM NaOH.</t>
  </si>
  <si>
    <t>Picture</t>
  </si>
  <si>
    <t>DSC00163</t>
  </si>
  <si>
    <t>Air entered during the cleaning phase. We therefore spent a long time injecting cleaning solution to remove all of the air. Leakage at unknown time in the end of the experiment, making the dynamics and weight data uncertain.</t>
  </si>
  <si>
    <t>At the end</t>
  </si>
  <si>
    <t>DSC17348</t>
  </si>
  <si>
    <t>DSC00200</t>
  </si>
  <si>
    <t>DSC00260</t>
  </si>
  <si>
    <t>20.02.206</t>
  </si>
  <si>
    <t>The rate was not reduced to 20% before 24.02.26 at 11:19:20. The time put below indicates the time when the "bubble thing" was opened.</t>
  </si>
  <si>
    <t>pressure high</t>
  </si>
  <si>
    <t>pressure low</t>
  </si>
  <si>
    <t>temp high(A)</t>
  </si>
  <si>
    <t>temp low(A)</t>
  </si>
  <si>
    <t>Temperature stable with ± 1 degree from avg</t>
  </si>
  <si>
    <t>Pressure stable with ± 1kPa from avg</t>
  </si>
  <si>
    <t>Consentration of MeR(mM):</t>
  </si>
  <si>
    <t>0.43mM MRe</t>
  </si>
  <si>
    <t>0.1mM NaOH</t>
  </si>
  <si>
    <t>0.14mM BTB</t>
  </si>
  <si>
    <t>14 x 10L cans used for formation water inj, vacuumed for 330min, Flushed 10 x 10L cans with 10mM NaOH.</t>
  </si>
  <si>
    <t>8 x 10L cans used for formation water inj, vacuumed for 300-330min. Flushed 17 x 10L cans with 10mM NaOH.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</si>
</sst>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8"/>
      <name val="Aptos Narrow"/>
      <family val="2"/>
      <scheme val="minor"/>
    </font>
    <font>
      <sz val="11"/>
      <color theme="1"/>
      <name val="Aptos Narrow"/>
      <family val="2"/>
    </font>
  </fonts>
  <fills count="8">
    <fill>
      <patternFill patternType="none"/>
    </fill>
    <fill>
      <patternFill patternType="gray125"/>
    </fill>
    <fill>
      <patternFill patternType="solid">
        <fgColor rgb="FF0070C0"/>
        <bgColor indexed="64"/>
      </patternFill>
    </fill>
    <fill>
      <patternFill patternType="solid">
        <fgColor rgb="FF00B0F0"/>
        <bgColor indexed="64"/>
      </patternFill>
    </fill>
    <fill>
      <patternFill patternType="solid">
        <fgColor rgb="FF92D050"/>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0" tint="-0.14999847407452621"/>
        <bgColor indexed="64"/>
      </patternFill>
    </fill>
  </fills>
  <borders count="2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s>
  <cellStyleXfs count="1">
    <xf numFmtId="0" fontId="0" fillId="0" borderId="0"/>
  </cellStyleXfs>
  <cellXfs count="47">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0" fillId="0" borderId="7" xfId="0" applyNumberFormat="1" applyBorder="1"/>
    <xf numFmtId="21" fontId="0" fillId="0" borderId="0" xfId="0" applyNumberFormat="1"/>
    <xf numFmtId="21" fontId="0" fillId="0" borderId="5" xfId="0" applyNumberFormat="1" applyBorder="1"/>
    <xf numFmtId="21" fontId="0" fillId="0" borderId="7" xfId="0" applyNumberFormat="1" applyBorder="1"/>
    <xf numFmtId="14" fontId="0" fillId="0" borderId="5" xfId="0" applyNumberFormat="1" applyBorder="1"/>
    <xf numFmtId="0" fontId="0" fillId="0" borderId="0" xfId="0" applyAlignment="1">
      <alignment wrapText="1"/>
    </xf>
    <xf numFmtId="0" fontId="0" fillId="0" borderId="9" xfId="0" applyBorder="1"/>
    <xf numFmtId="0" fontId="0" fillId="0" borderId="0" xfId="0" applyAlignment="1">
      <alignment vertical="center" wrapText="1"/>
    </xf>
    <xf numFmtId="0" fontId="0" fillId="0" borderId="9" xfId="0" applyBorder="1" applyAlignment="1">
      <alignment horizontal="center" vertical="center"/>
    </xf>
    <xf numFmtId="0" fontId="0" fillId="2" borderId="9" xfId="0" applyFill="1" applyBorder="1"/>
    <xf numFmtId="0" fontId="0" fillId="3" borderId="9" xfId="0" applyFill="1" applyBorder="1"/>
    <xf numFmtId="0" fontId="0" fillId="4" borderId="9" xfId="0" applyFill="1" applyBorder="1"/>
    <xf numFmtId="0" fontId="0" fillId="0" borderId="10" xfId="0" applyBorder="1" applyAlignment="1">
      <alignment horizontal="center" vertical="center"/>
    </xf>
    <xf numFmtId="0" fontId="1" fillId="0" borderId="0" xfId="0" applyFont="1" applyAlignment="1">
      <alignment vertical="center" wrapText="1"/>
    </xf>
    <xf numFmtId="0" fontId="1" fillId="0" borderId="0" xfId="0" applyFont="1"/>
    <xf numFmtId="0" fontId="0" fillId="2" borderId="10" xfId="0" applyFill="1" applyBorder="1"/>
    <xf numFmtId="0" fontId="0" fillId="3" borderId="10" xfId="0" applyFill="1" applyBorder="1"/>
    <xf numFmtId="0" fontId="0" fillId="0" borderId="11" xfId="0" applyBorder="1"/>
    <xf numFmtId="0" fontId="0" fillId="0" borderId="12" xfId="0" applyBorder="1" applyAlignment="1">
      <alignment horizontal="center"/>
    </xf>
    <xf numFmtId="0" fontId="0" fillId="0" borderId="12" xfId="0" applyBorder="1" applyAlignment="1">
      <alignment horizontal="center" vertical="center"/>
    </xf>
    <xf numFmtId="0" fontId="0" fillId="0" borderId="13" xfId="0" applyBorder="1"/>
    <xf numFmtId="0" fontId="0" fillId="0" borderId="15" xfId="0" applyBorder="1"/>
    <xf numFmtId="0" fontId="0" fillId="0" borderId="16" xfId="0" applyBorder="1"/>
    <xf numFmtId="0" fontId="0" fillId="0" borderId="14" xfId="0" applyBorder="1" applyAlignment="1">
      <alignment horizontal="center"/>
    </xf>
    <xf numFmtId="0" fontId="0" fillId="0" borderId="0" xfId="0" quotePrefix="1"/>
    <xf numFmtId="0" fontId="1" fillId="0" borderId="9" xfId="0" applyFont="1" applyBorder="1"/>
    <xf numFmtId="0" fontId="0" fillId="5" borderId="9" xfId="0" applyFill="1" applyBorder="1" applyAlignment="1">
      <alignment horizontal="center"/>
    </xf>
    <xf numFmtId="0" fontId="0" fillId="5" borderId="9" xfId="0" applyFill="1" applyBorder="1" applyAlignment="1">
      <alignment horizontal="center" vertical="center"/>
    </xf>
    <xf numFmtId="0" fontId="0" fillId="5" borderId="9" xfId="0" applyFill="1" applyBorder="1"/>
    <xf numFmtId="0" fontId="0" fillId="4" borderId="1" xfId="0" applyFill="1" applyBorder="1"/>
    <xf numFmtId="0" fontId="0" fillId="0" borderId="17" xfId="0" applyBorder="1" applyAlignment="1">
      <alignment horizontal="center" vertical="center"/>
    </xf>
    <xf numFmtId="0" fontId="0" fillId="0" borderId="18" xfId="0" applyBorder="1" applyAlignment="1">
      <alignment horizontal="center" vertical="center"/>
    </xf>
    <xf numFmtId="0" fontId="0" fillId="0" borderId="1" xfId="0" applyBorder="1" applyAlignment="1">
      <alignment horizontal="center" vertical="center"/>
    </xf>
    <xf numFmtId="0" fontId="0" fillId="0" borderId="19" xfId="0" applyBorder="1" applyAlignment="1">
      <alignment horizontal="center"/>
    </xf>
    <xf numFmtId="0" fontId="0" fillId="0" borderId="14" xfId="0" applyBorder="1"/>
    <xf numFmtId="0" fontId="0" fillId="6" borderId="9" xfId="0" applyFill="1" applyBorder="1"/>
    <xf numFmtId="0" fontId="0" fillId="7" borderId="9"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ADD72-C4CB-4823-B722-052720A89F19}">
  <dimension ref="A1:I147"/>
  <sheetViews>
    <sheetView tabSelected="1" zoomScaleNormal="100" workbookViewId="0">
      <selection activeCell="B118" sqref="B118"/>
    </sheetView>
  </sheetViews>
  <sheetFormatPr baseColWidth="10" defaultColWidth="8.6328125" defaultRowHeight="14.5" x14ac:dyDescent="0.35"/>
  <cols>
    <col min="1" max="1" width="31.08984375" bestFit="1" customWidth="1"/>
    <col min="2" max="2" width="23.6328125" customWidth="1"/>
    <col min="3" max="4" width="10.453125" customWidth="1"/>
    <col min="5" max="5" width="20.7265625" bestFit="1" customWidth="1"/>
    <col min="6" max="6" width="12.1796875" customWidth="1"/>
    <col min="8" max="8" width="39.453125" customWidth="1"/>
    <col min="9" max="9" width="18.81640625" bestFit="1" customWidth="1"/>
  </cols>
  <sheetData>
    <row r="1" spans="1:9" x14ac:dyDescent="0.35">
      <c r="A1" s="1" t="s">
        <v>0</v>
      </c>
      <c r="B1" s="2"/>
      <c r="C1" s="2"/>
      <c r="D1" s="2"/>
      <c r="E1" s="3"/>
    </row>
    <row r="2" spans="1:9" x14ac:dyDescent="0.35">
      <c r="A2" s="4"/>
      <c r="E2" s="5"/>
    </row>
    <row r="3" spans="1:9" x14ac:dyDescent="0.35">
      <c r="A3" s="4" t="s">
        <v>8</v>
      </c>
      <c r="B3">
        <v>0.75</v>
      </c>
      <c r="E3" s="5"/>
    </row>
    <row r="4" spans="1:9" x14ac:dyDescent="0.35">
      <c r="A4" s="4" t="s">
        <v>9</v>
      </c>
      <c r="B4">
        <v>1</v>
      </c>
      <c r="E4" s="5"/>
    </row>
    <row r="5" spans="1:9" x14ac:dyDescent="0.35">
      <c r="A5" s="4" t="s">
        <v>1</v>
      </c>
      <c r="B5" t="s">
        <v>35</v>
      </c>
      <c r="E5" s="5"/>
    </row>
    <row r="6" spans="1:9" x14ac:dyDescent="0.35">
      <c r="A6" s="4"/>
      <c r="E6" s="5"/>
    </row>
    <row r="7" spans="1:9" x14ac:dyDescent="0.35">
      <c r="A7" s="4"/>
      <c r="B7" t="s">
        <v>10</v>
      </c>
      <c r="C7" t="s">
        <v>7</v>
      </c>
      <c r="D7" t="s">
        <v>85</v>
      </c>
      <c r="E7" s="5" t="s">
        <v>5</v>
      </c>
      <c r="G7" t="s">
        <v>55</v>
      </c>
    </row>
    <row r="8" spans="1:9" x14ac:dyDescent="0.35">
      <c r="A8" s="4" t="s">
        <v>2</v>
      </c>
      <c r="B8" s="9">
        <v>45894</v>
      </c>
      <c r="C8" s="11">
        <v>0.70081018518518523</v>
      </c>
      <c r="D8" s="11" t="s">
        <v>86</v>
      </c>
      <c r="E8" s="12"/>
      <c r="G8">
        <v>1</v>
      </c>
      <c r="H8" t="s">
        <v>68</v>
      </c>
    </row>
    <row r="9" spans="1:9" x14ac:dyDescent="0.35">
      <c r="A9" s="4" t="s">
        <v>20</v>
      </c>
      <c r="B9" s="9">
        <f>B8</f>
        <v>45894</v>
      </c>
      <c r="C9" s="11">
        <v>0.71105324074074072</v>
      </c>
      <c r="D9" s="11"/>
      <c r="E9" s="12"/>
      <c r="G9">
        <v>2</v>
      </c>
      <c r="H9" t="s">
        <v>67</v>
      </c>
    </row>
    <row r="10" spans="1:9" x14ac:dyDescent="0.35">
      <c r="A10" s="4" t="s">
        <v>3</v>
      </c>
      <c r="B10" s="9">
        <v>45894</v>
      </c>
      <c r="C10" s="11">
        <v>0.73078703703703707</v>
      </c>
      <c r="D10" s="11"/>
      <c r="E10" s="5"/>
      <c r="G10">
        <v>3</v>
      </c>
      <c r="H10" t="s">
        <v>69</v>
      </c>
    </row>
    <row r="11" spans="1:9" x14ac:dyDescent="0.35">
      <c r="A11" s="4" t="s">
        <v>4</v>
      </c>
      <c r="B11" s="9">
        <v>45905</v>
      </c>
      <c r="C11" s="11">
        <v>0.40763888888888888</v>
      </c>
      <c r="D11">
        <v>61835</v>
      </c>
      <c r="E11" s="5"/>
      <c r="G11">
        <v>4</v>
      </c>
      <c r="H11" t="s">
        <v>70</v>
      </c>
    </row>
    <row r="12" spans="1:9" x14ac:dyDescent="0.35">
      <c r="A12" s="6" t="s">
        <v>6</v>
      </c>
      <c r="B12" s="10">
        <v>45908</v>
      </c>
      <c r="C12" s="7"/>
      <c r="D12" s="7"/>
      <c r="E12" s="8"/>
      <c r="G12">
        <v>5</v>
      </c>
      <c r="H12" t="s">
        <v>74</v>
      </c>
    </row>
    <row r="13" spans="1:9" x14ac:dyDescent="0.35">
      <c r="G13">
        <v>6</v>
      </c>
      <c r="H13" t="s">
        <v>75</v>
      </c>
      <c r="I13" s="34"/>
    </row>
    <row r="14" spans="1:9" x14ac:dyDescent="0.35">
      <c r="G14">
        <v>7</v>
      </c>
      <c r="H14" t="s">
        <v>77</v>
      </c>
    </row>
    <row r="15" spans="1:9" x14ac:dyDescent="0.35">
      <c r="A15" s="1" t="s">
        <v>12</v>
      </c>
      <c r="B15" s="2"/>
      <c r="C15" s="2"/>
      <c r="D15" s="2"/>
      <c r="E15" s="3"/>
      <c r="G15">
        <v>8</v>
      </c>
      <c r="H15" t="s">
        <v>105</v>
      </c>
    </row>
    <row r="16" spans="1:9" x14ac:dyDescent="0.35">
      <c r="A16" s="4"/>
      <c r="E16" s="5"/>
      <c r="G16">
        <v>9</v>
      </c>
      <c r="H16" t="s">
        <v>84</v>
      </c>
    </row>
    <row r="17" spans="1:8" x14ac:dyDescent="0.35">
      <c r="A17" s="4" t="s">
        <v>8</v>
      </c>
      <c r="B17">
        <v>7.4999999999999997E-2</v>
      </c>
      <c r="E17" s="5"/>
      <c r="G17">
        <v>10</v>
      </c>
      <c r="H17" t="s">
        <v>104</v>
      </c>
    </row>
    <row r="18" spans="1:8" x14ac:dyDescent="0.35">
      <c r="A18" s="4" t="s">
        <v>9</v>
      </c>
      <c r="B18">
        <v>0.1</v>
      </c>
      <c r="E18" s="5"/>
    </row>
    <row r="19" spans="1:8" ht="45" customHeight="1" x14ac:dyDescent="0.35">
      <c r="A19" s="4" t="s">
        <v>1</v>
      </c>
      <c r="B19" s="15" t="s">
        <v>22</v>
      </c>
      <c r="E19" s="5"/>
    </row>
    <row r="20" spans="1:8" x14ac:dyDescent="0.35">
      <c r="A20" s="4"/>
      <c r="E20" s="5"/>
    </row>
    <row r="21" spans="1:8" x14ac:dyDescent="0.35">
      <c r="A21" s="4"/>
      <c r="B21" t="s">
        <v>10</v>
      </c>
      <c r="C21" t="s">
        <v>7</v>
      </c>
      <c r="E21" s="5" t="s">
        <v>5</v>
      </c>
    </row>
    <row r="22" spans="1:8" x14ac:dyDescent="0.35">
      <c r="A22" s="4" t="s">
        <v>2</v>
      </c>
      <c r="B22" s="9">
        <v>45912</v>
      </c>
      <c r="C22" s="11">
        <v>0.46968749999999998</v>
      </c>
      <c r="D22" s="11"/>
      <c r="E22" s="12">
        <f>C23-C22</f>
        <v>1.0439814814814818E-2</v>
      </c>
    </row>
    <row r="23" spans="1:8" x14ac:dyDescent="0.35">
      <c r="A23" s="4" t="s">
        <v>3</v>
      </c>
      <c r="B23" s="9">
        <v>45912</v>
      </c>
      <c r="C23" s="11">
        <v>0.4801273148148148</v>
      </c>
      <c r="D23" s="11"/>
      <c r="E23" s="5" t="s">
        <v>36</v>
      </c>
    </row>
    <row r="24" spans="1:8" x14ac:dyDescent="0.35">
      <c r="A24" s="4" t="s">
        <v>4</v>
      </c>
      <c r="B24" s="9">
        <v>45915</v>
      </c>
      <c r="C24" s="11">
        <v>0.31990740740740742</v>
      </c>
      <c r="D24" s="11"/>
      <c r="E24" s="5" t="s">
        <v>52</v>
      </c>
    </row>
    <row r="25" spans="1:8" x14ac:dyDescent="0.35">
      <c r="A25" s="6" t="s">
        <v>21</v>
      </c>
      <c r="B25" s="10">
        <f>B24</f>
        <v>45915</v>
      </c>
      <c r="C25" s="13">
        <v>0.34305555555555556</v>
      </c>
      <c r="D25" s="13"/>
      <c r="E25" s="8" t="s">
        <v>53</v>
      </c>
    </row>
    <row r="28" spans="1:8" x14ac:dyDescent="0.35">
      <c r="A28" s="1" t="s">
        <v>11</v>
      </c>
      <c r="B28" s="2"/>
      <c r="C28" s="2"/>
      <c r="D28" s="2"/>
      <c r="E28" s="3"/>
    </row>
    <row r="29" spans="1:8" x14ac:dyDescent="0.35">
      <c r="A29" s="4"/>
      <c r="E29" s="5"/>
    </row>
    <row r="30" spans="1:8" x14ac:dyDescent="0.35">
      <c r="A30" s="4" t="s">
        <v>8</v>
      </c>
      <c r="B30">
        <v>0.75</v>
      </c>
      <c r="E30" s="5"/>
    </row>
    <row r="31" spans="1:8" x14ac:dyDescent="0.35">
      <c r="A31" s="4" t="s">
        <v>9</v>
      </c>
      <c r="B31">
        <v>1</v>
      </c>
      <c r="E31" s="5"/>
    </row>
    <row r="32" spans="1:8" x14ac:dyDescent="0.35">
      <c r="A32" s="4" t="s">
        <v>1</v>
      </c>
      <c r="E32" s="5"/>
    </row>
    <row r="33" spans="1:7" x14ac:dyDescent="0.35">
      <c r="A33" s="4"/>
      <c r="E33" s="5"/>
    </row>
    <row r="34" spans="1:7" x14ac:dyDescent="0.35">
      <c r="A34" s="4" t="s">
        <v>18</v>
      </c>
      <c r="B34" t="s">
        <v>19</v>
      </c>
      <c r="C34" t="s">
        <v>23</v>
      </c>
      <c r="E34" s="5"/>
      <c r="G34" t="s">
        <v>24</v>
      </c>
    </row>
    <row r="35" spans="1:7" x14ac:dyDescent="0.35">
      <c r="A35" s="4"/>
      <c r="E35" s="5"/>
    </row>
    <row r="36" spans="1:7" x14ac:dyDescent="0.35">
      <c r="A36" s="4"/>
      <c r="B36" t="s">
        <v>10</v>
      </c>
      <c r="C36" t="s">
        <v>7</v>
      </c>
      <c r="E36" s="5" t="s">
        <v>5</v>
      </c>
    </row>
    <row r="37" spans="1:7" x14ac:dyDescent="0.35">
      <c r="A37" s="4" t="s">
        <v>2</v>
      </c>
      <c r="B37" s="9">
        <v>45918</v>
      </c>
      <c r="C37" s="11">
        <v>0.43454861111111109</v>
      </c>
      <c r="D37" s="11"/>
      <c r="E37" s="12">
        <f>C38-C37</f>
        <v>1.0439814814814818E-2</v>
      </c>
    </row>
    <row r="38" spans="1:7" x14ac:dyDescent="0.35">
      <c r="A38" s="4" t="s">
        <v>3</v>
      </c>
      <c r="B38" s="9">
        <f>B37</f>
        <v>45918</v>
      </c>
      <c r="C38" s="11">
        <v>0.44498842592592591</v>
      </c>
      <c r="D38" s="11"/>
      <c r="E38" s="5"/>
    </row>
    <row r="39" spans="1:7" x14ac:dyDescent="0.35">
      <c r="A39" s="4" t="s">
        <v>4</v>
      </c>
      <c r="B39" s="9">
        <v>45932</v>
      </c>
      <c r="C39" s="11">
        <v>0.51076388888888891</v>
      </c>
      <c r="D39" s="11"/>
      <c r="E39" s="5" t="s">
        <v>54</v>
      </c>
    </row>
    <row r="40" spans="1:7" x14ac:dyDescent="0.35">
      <c r="A40" s="6" t="s">
        <v>6</v>
      </c>
      <c r="B40" s="10">
        <v>45936</v>
      </c>
      <c r="C40" s="7"/>
      <c r="D40" s="7"/>
      <c r="E40" s="8"/>
    </row>
    <row r="43" spans="1:7" x14ac:dyDescent="0.35">
      <c r="A43" s="1" t="s">
        <v>16</v>
      </c>
      <c r="B43" s="2"/>
      <c r="C43" s="2"/>
      <c r="D43" s="2"/>
      <c r="E43" s="3"/>
    </row>
    <row r="44" spans="1:7" x14ac:dyDescent="0.35">
      <c r="A44" s="4"/>
      <c r="E44" s="5"/>
    </row>
    <row r="45" spans="1:7" x14ac:dyDescent="0.35">
      <c r="A45" s="4" t="s">
        <v>8</v>
      </c>
      <c r="B45">
        <v>0.75</v>
      </c>
      <c r="E45" s="5"/>
    </row>
    <row r="46" spans="1:7" x14ac:dyDescent="0.35">
      <c r="A46" s="4" t="s">
        <v>9</v>
      </c>
      <c r="B46">
        <v>1</v>
      </c>
      <c r="E46" s="5"/>
    </row>
    <row r="47" spans="1:7" x14ac:dyDescent="0.35">
      <c r="A47" s="4" t="s">
        <v>1</v>
      </c>
      <c r="B47" t="s">
        <v>25</v>
      </c>
      <c r="E47" s="5"/>
    </row>
    <row r="48" spans="1:7" x14ac:dyDescent="0.35">
      <c r="A48" s="4"/>
      <c r="E48" s="5"/>
    </row>
    <row r="49" spans="1:6" x14ac:dyDescent="0.35">
      <c r="A49" s="4"/>
      <c r="B49" t="s">
        <v>10</v>
      </c>
      <c r="C49" t="s">
        <v>7</v>
      </c>
      <c r="E49" s="5" t="s">
        <v>5</v>
      </c>
    </row>
    <row r="50" spans="1:6" x14ac:dyDescent="0.35">
      <c r="A50" s="4" t="s">
        <v>2</v>
      </c>
      <c r="B50" s="9">
        <v>45940</v>
      </c>
      <c r="C50" s="11">
        <v>0.50192129629629634</v>
      </c>
      <c r="D50" s="11" t="s">
        <v>90</v>
      </c>
      <c r="E50" s="12">
        <f>C52-C50</f>
        <v>1.041666666666663E-2</v>
      </c>
    </row>
    <row r="51" spans="1:6" x14ac:dyDescent="0.35">
      <c r="A51" s="4" t="s">
        <v>3</v>
      </c>
      <c r="B51" t="s">
        <v>17</v>
      </c>
      <c r="C51" t="str">
        <f>B51</f>
        <v>n/a</v>
      </c>
      <c r="E51" s="5" t="str">
        <f>C51</f>
        <v>n/a</v>
      </c>
    </row>
    <row r="52" spans="1:6" x14ac:dyDescent="0.35">
      <c r="A52" s="4" t="s">
        <v>4</v>
      </c>
      <c r="B52" s="9">
        <v>45940</v>
      </c>
      <c r="C52" s="11">
        <v>0.51233796296296297</v>
      </c>
      <c r="D52" s="11" t="s">
        <v>91</v>
      </c>
      <c r="E52" s="12">
        <f>E50</f>
        <v>1.041666666666663E-2</v>
      </c>
    </row>
    <row r="53" spans="1:6" x14ac:dyDescent="0.35">
      <c r="A53" s="6" t="s">
        <v>6</v>
      </c>
      <c r="B53" s="10">
        <v>45943</v>
      </c>
      <c r="C53" s="13">
        <v>0.41087962962962965</v>
      </c>
      <c r="D53" s="13"/>
      <c r="E53" s="8"/>
    </row>
    <row r="56" spans="1:6" x14ac:dyDescent="0.35">
      <c r="A56" s="1" t="s">
        <v>15</v>
      </c>
      <c r="B56" s="2"/>
      <c r="C56" s="2"/>
      <c r="D56" s="2"/>
      <c r="E56" s="3"/>
    </row>
    <row r="57" spans="1:6" x14ac:dyDescent="0.35">
      <c r="A57" s="4"/>
      <c r="E57" s="5"/>
    </row>
    <row r="58" spans="1:6" x14ac:dyDescent="0.35">
      <c r="A58" s="4" t="s">
        <v>8</v>
      </c>
      <c r="B58">
        <v>0.75</v>
      </c>
      <c r="E58" s="5"/>
    </row>
    <row r="59" spans="1:6" x14ac:dyDescent="0.35">
      <c r="A59" s="4" t="s">
        <v>9</v>
      </c>
      <c r="B59">
        <v>1</v>
      </c>
      <c r="E59" s="5"/>
    </row>
    <row r="60" spans="1:6" x14ac:dyDescent="0.35">
      <c r="A60" s="4" t="s">
        <v>1</v>
      </c>
      <c r="B60" t="s">
        <v>26</v>
      </c>
      <c r="E60" s="5"/>
    </row>
    <row r="61" spans="1:6" x14ac:dyDescent="0.35">
      <c r="A61" s="4"/>
      <c r="B61" t="s">
        <v>27</v>
      </c>
      <c r="E61" s="5"/>
    </row>
    <row r="62" spans="1:6" x14ac:dyDescent="0.35">
      <c r="A62" s="4"/>
      <c r="E62" s="5"/>
    </row>
    <row r="63" spans="1:6" x14ac:dyDescent="0.35">
      <c r="A63" s="4"/>
      <c r="B63" t="s">
        <v>31</v>
      </c>
      <c r="C63" t="s">
        <v>30</v>
      </c>
      <c r="E63" s="5" t="s">
        <v>32</v>
      </c>
      <c r="F63" t="s">
        <v>33</v>
      </c>
    </row>
    <row r="64" spans="1:6" x14ac:dyDescent="0.35">
      <c r="A64" s="4" t="s">
        <v>18</v>
      </c>
      <c r="B64" s="9">
        <v>45953</v>
      </c>
      <c r="C64" s="11">
        <v>0.5022106481481482</v>
      </c>
      <c r="D64" s="11"/>
      <c r="E64" s="14">
        <v>45954</v>
      </c>
      <c r="F64" s="11">
        <v>0.57951388888888888</v>
      </c>
    </row>
    <row r="65" spans="1:6" x14ac:dyDescent="0.35">
      <c r="A65" s="4"/>
      <c r="B65" s="9">
        <v>45956</v>
      </c>
      <c r="C65" s="11">
        <v>0.52810185185185188</v>
      </c>
      <c r="D65" s="11"/>
      <c r="E65" s="14">
        <v>45957</v>
      </c>
      <c r="F65" s="11">
        <v>0.49236111111111114</v>
      </c>
    </row>
    <row r="66" spans="1:6" x14ac:dyDescent="0.35">
      <c r="A66" s="4"/>
      <c r="E66" s="5"/>
    </row>
    <row r="67" spans="1:6" x14ac:dyDescent="0.35">
      <c r="A67" s="4"/>
      <c r="B67" t="s">
        <v>10</v>
      </c>
      <c r="C67" t="s">
        <v>7</v>
      </c>
      <c r="E67" s="5" t="s">
        <v>5</v>
      </c>
    </row>
    <row r="68" spans="1:6" x14ac:dyDescent="0.35">
      <c r="A68" s="4" t="s">
        <v>2</v>
      </c>
      <c r="B68" s="9">
        <v>45948</v>
      </c>
      <c r="C68" s="11">
        <v>0.45908564814814817</v>
      </c>
      <c r="D68" s="11"/>
      <c r="E68" s="12">
        <f>C69-C68</f>
        <v>1.041666666666663E-2</v>
      </c>
    </row>
    <row r="69" spans="1:6" x14ac:dyDescent="0.35">
      <c r="A69" s="4" t="s">
        <v>3</v>
      </c>
      <c r="B69" s="9">
        <f>B68</f>
        <v>45948</v>
      </c>
      <c r="C69" s="11">
        <v>0.4695023148148148</v>
      </c>
      <c r="D69" s="11"/>
      <c r="E69" s="5"/>
    </row>
    <row r="70" spans="1:6" x14ac:dyDescent="0.35">
      <c r="A70" s="4" t="s">
        <v>4</v>
      </c>
      <c r="B70" s="9">
        <v>45961</v>
      </c>
      <c r="C70" s="11">
        <v>0.34479166666666666</v>
      </c>
      <c r="D70" s="11"/>
      <c r="E70" s="5"/>
    </row>
    <row r="71" spans="1:6" x14ac:dyDescent="0.35">
      <c r="A71" s="6" t="s">
        <v>6</v>
      </c>
      <c r="B71" s="10">
        <v>45964</v>
      </c>
      <c r="C71" s="7"/>
      <c r="D71" s="7"/>
      <c r="E71" s="8"/>
    </row>
    <row r="74" spans="1:6" x14ac:dyDescent="0.35">
      <c r="A74" s="1" t="s">
        <v>14</v>
      </c>
      <c r="B74" s="2"/>
      <c r="C74" s="2"/>
      <c r="D74" s="2"/>
      <c r="E74" s="3"/>
    </row>
    <row r="75" spans="1:6" x14ac:dyDescent="0.35">
      <c r="A75" s="4"/>
      <c r="E75" s="5"/>
    </row>
    <row r="76" spans="1:6" x14ac:dyDescent="0.35">
      <c r="A76" s="4" t="s">
        <v>8</v>
      </c>
      <c r="B76">
        <v>0.75</v>
      </c>
      <c r="E76" s="5"/>
    </row>
    <row r="77" spans="1:6" x14ac:dyDescent="0.35">
      <c r="A77" s="4" t="s">
        <v>9</v>
      </c>
      <c r="B77">
        <v>1</v>
      </c>
      <c r="E77" s="5"/>
    </row>
    <row r="78" spans="1:6" x14ac:dyDescent="0.35">
      <c r="A78" s="4" t="s">
        <v>1</v>
      </c>
      <c r="B78" t="s">
        <v>28</v>
      </c>
      <c r="E78" s="5"/>
    </row>
    <row r="79" spans="1:6" x14ac:dyDescent="0.35">
      <c r="A79" s="4"/>
      <c r="B79" t="s">
        <v>29</v>
      </c>
      <c r="E79" s="5"/>
    </row>
    <row r="80" spans="1:6" x14ac:dyDescent="0.35">
      <c r="A80" s="4"/>
      <c r="E80" s="5"/>
    </row>
    <row r="81" spans="1:6" x14ac:dyDescent="0.35">
      <c r="A81" s="4"/>
      <c r="B81" t="s">
        <v>10</v>
      </c>
      <c r="C81" t="s">
        <v>7</v>
      </c>
      <c r="E81" s="5" t="s">
        <v>5</v>
      </c>
    </row>
    <row r="82" spans="1:6" x14ac:dyDescent="0.35">
      <c r="A82" s="4" t="s">
        <v>2</v>
      </c>
      <c r="B82" s="9">
        <v>45973</v>
      </c>
      <c r="C82" s="11">
        <v>0.41218749999999998</v>
      </c>
      <c r="D82">
        <v>20</v>
      </c>
      <c r="E82" s="12">
        <f>C83-C82</f>
        <v>1.0416666666666685E-2</v>
      </c>
    </row>
    <row r="83" spans="1:6" x14ac:dyDescent="0.35">
      <c r="A83" s="4" t="s">
        <v>3</v>
      </c>
      <c r="B83" s="9">
        <v>45973</v>
      </c>
      <c r="C83" s="11">
        <v>0.42260416666666667</v>
      </c>
      <c r="D83" s="11"/>
      <c r="E83" s="5" t="s">
        <v>37</v>
      </c>
    </row>
    <row r="84" spans="1:6" x14ac:dyDescent="0.35">
      <c r="A84" s="4" t="s">
        <v>4</v>
      </c>
      <c r="B84" s="9">
        <v>45982</v>
      </c>
      <c r="C84" s="11">
        <v>0.42152777777777778</v>
      </c>
      <c r="D84" s="11"/>
      <c r="E84" s="5"/>
    </row>
    <row r="85" spans="1:6" x14ac:dyDescent="0.35">
      <c r="A85" s="6" t="s">
        <v>6</v>
      </c>
      <c r="B85" s="10">
        <v>45985</v>
      </c>
      <c r="C85" s="7" t="s">
        <v>71</v>
      </c>
      <c r="D85" s="7"/>
      <c r="E85" s="8"/>
    </row>
    <row r="88" spans="1:6" x14ac:dyDescent="0.35">
      <c r="A88" s="1" t="s">
        <v>13</v>
      </c>
      <c r="B88" s="2"/>
      <c r="C88" s="2"/>
      <c r="D88" s="2"/>
      <c r="E88" s="3"/>
    </row>
    <row r="89" spans="1:6" x14ac:dyDescent="0.35">
      <c r="A89" s="4"/>
      <c r="E89" s="5"/>
    </row>
    <row r="90" spans="1:6" x14ac:dyDescent="0.35">
      <c r="A90" s="4" t="s">
        <v>8</v>
      </c>
      <c r="B90">
        <v>7.4999999999999997E-2</v>
      </c>
      <c r="E90" s="5"/>
    </row>
    <row r="91" spans="1:6" x14ac:dyDescent="0.35">
      <c r="A91" s="4" t="s">
        <v>9</v>
      </c>
      <c r="B91">
        <v>0.1</v>
      </c>
      <c r="E91" s="5"/>
    </row>
    <row r="92" spans="1:6" x14ac:dyDescent="0.35">
      <c r="A92" s="4" t="s">
        <v>1</v>
      </c>
      <c r="B92" t="s">
        <v>87</v>
      </c>
      <c r="E92" s="5"/>
    </row>
    <row r="93" spans="1:6" x14ac:dyDescent="0.35">
      <c r="A93" s="4"/>
      <c r="E93" s="5"/>
    </row>
    <row r="94" spans="1:6" x14ac:dyDescent="0.35">
      <c r="A94" s="4" t="s">
        <v>18</v>
      </c>
      <c r="B94" t="s">
        <v>19</v>
      </c>
      <c r="E94" s="5"/>
    </row>
    <row r="95" spans="1:6" x14ac:dyDescent="0.35">
      <c r="A95" s="4"/>
      <c r="B95" s="9">
        <v>46027</v>
      </c>
      <c r="C95" s="11">
        <v>0.57086805555555553</v>
      </c>
      <c r="E95" s="14">
        <v>46029</v>
      </c>
      <c r="F95" s="11">
        <v>0.4236111111111111</v>
      </c>
    </row>
    <row r="96" spans="1:6" x14ac:dyDescent="0.35">
      <c r="A96" s="4"/>
      <c r="E96" s="5"/>
    </row>
    <row r="97" spans="1:5" x14ac:dyDescent="0.35">
      <c r="A97" s="4"/>
      <c r="B97" t="s">
        <v>10</v>
      </c>
      <c r="C97" t="s">
        <v>7</v>
      </c>
      <c r="E97" s="5" t="s">
        <v>5</v>
      </c>
    </row>
    <row r="98" spans="1:5" x14ac:dyDescent="0.35">
      <c r="A98" s="4" t="s">
        <v>2</v>
      </c>
      <c r="B98" s="9">
        <v>46008</v>
      </c>
      <c r="C98" s="11">
        <v>0.45659722222222221</v>
      </c>
      <c r="D98">
        <v>54</v>
      </c>
      <c r="E98" s="12">
        <f>C99-C98</f>
        <v>1.0416666666666685E-2</v>
      </c>
    </row>
    <row r="99" spans="1:5" x14ac:dyDescent="0.35">
      <c r="A99" s="4" t="s">
        <v>3</v>
      </c>
      <c r="B99" s="9">
        <f>B98</f>
        <v>46008</v>
      </c>
      <c r="C99" s="11">
        <v>0.4670138888888889</v>
      </c>
      <c r="D99" s="11"/>
      <c r="E99" s="5"/>
    </row>
    <row r="100" spans="1:5" x14ac:dyDescent="0.35">
      <c r="A100" s="4" t="s">
        <v>4</v>
      </c>
      <c r="B100" s="9">
        <v>46029</v>
      </c>
      <c r="C100" s="11">
        <v>0.42986111111111114</v>
      </c>
      <c r="D100" s="11"/>
      <c r="E100" s="5"/>
    </row>
    <row r="101" spans="1:5" x14ac:dyDescent="0.35">
      <c r="A101" s="6" t="s">
        <v>34</v>
      </c>
      <c r="B101" s="10">
        <v>46034</v>
      </c>
      <c r="C101" s="13">
        <v>0.41736111111111113</v>
      </c>
      <c r="D101" s="13"/>
      <c r="E101" s="8"/>
    </row>
    <row r="104" spans="1:5" x14ac:dyDescent="0.35">
      <c r="A104" s="1" t="s">
        <v>39</v>
      </c>
      <c r="B104" s="2"/>
      <c r="C104" s="2"/>
      <c r="D104" s="2"/>
      <c r="E104" s="3"/>
    </row>
    <row r="105" spans="1:5" x14ac:dyDescent="0.35">
      <c r="A105" s="4"/>
      <c r="E105" s="5"/>
    </row>
    <row r="106" spans="1:5" x14ac:dyDescent="0.35">
      <c r="A106" s="4" t="s">
        <v>49</v>
      </c>
      <c r="E106" s="5"/>
    </row>
    <row r="107" spans="1:5" x14ac:dyDescent="0.35">
      <c r="A107" s="4" t="s">
        <v>9</v>
      </c>
      <c r="B107">
        <v>0.1</v>
      </c>
      <c r="E107" s="5"/>
    </row>
    <row r="108" spans="1:5" x14ac:dyDescent="0.35">
      <c r="A108" s="4" t="s">
        <v>1</v>
      </c>
      <c r="E108" s="5"/>
    </row>
    <row r="109" spans="1:5" x14ac:dyDescent="0.35">
      <c r="A109" s="4"/>
      <c r="E109" s="5"/>
    </row>
    <row r="110" spans="1:5" x14ac:dyDescent="0.35">
      <c r="A110" s="4" t="s">
        <v>18</v>
      </c>
      <c r="B110" t="s">
        <v>88</v>
      </c>
      <c r="E110" s="5"/>
    </row>
    <row r="111" spans="1:5" x14ac:dyDescent="0.35">
      <c r="A111" s="4"/>
      <c r="E111" s="5"/>
    </row>
    <row r="112" spans="1:5" x14ac:dyDescent="0.35">
      <c r="A112" s="4"/>
      <c r="B112" t="s">
        <v>10</v>
      </c>
      <c r="C112" t="s">
        <v>7</v>
      </c>
      <c r="E112" s="5" t="s">
        <v>5</v>
      </c>
    </row>
    <row r="113" spans="1:5" x14ac:dyDescent="0.35">
      <c r="A113" s="4" t="s">
        <v>2</v>
      </c>
      <c r="B113" s="9">
        <v>46052</v>
      </c>
      <c r="C113" s="11">
        <v>0.47643518518518518</v>
      </c>
      <c r="D113">
        <v>2299</v>
      </c>
      <c r="E113" s="12">
        <f>C114-C113</f>
        <v>1.0416666666666685E-2</v>
      </c>
    </row>
    <row r="114" spans="1:5" x14ac:dyDescent="0.35">
      <c r="A114" s="4" t="s">
        <v>3</v>
      </c>
      <c r="B114" s="9">
        <f>B113</f>
        <v>46052</v>
      </c>
      <c r="C114" s="11">
        <v>0.48685185185185187</v>
      </c>
      <c r="D114">
        <v>2360</v>
      </c>
      <c r="E114" s="5"/>
    </row>
    <row r="115" spans="1:5" x14ac:dyDescent="0.35">
      <c r="A115" s="4" t="s">
        <v>4</v>
      </c>
      <c r="B115" s="9">
        <v>46055</v>
      </c>
      <c r="C115" s="11">
        <v>0.6074074074074074</v>
      </c>
      <c r="D115">
        <v>6877</v>
      </c>
      <c r="E115" s="5"/>
    </row>
    <row r="116" spans="1:5" x14ac:dyDescent="0.35">
      <c r="A116" s="6" t="s">
        <v>34</v>
      </c>
      <c r="B116" s="10">
        <v>46062</v>
      </c>
      <c r="C116" s="13">
        <v>0.8784953703703704</v>
      </c>
      <c r="D116" s="13" t="s">
        <v>89</v>
      </c>
      <c r="E116" s="8"/>
    </row>
    <row r="119" spans="1:5" x14ac:dyDescent="0.35">
      <c r="A119" s="1" t="s">
        <v>50</v>
      </c>
      <c r="B119" s="2"/>
      <c r="C119" s="2"/>
      <c r="D119" s="2"/>
      <c r="E119" s="3"/>
    </row>
    <row r="120" spans="1:5" x14ac:dyDescent="0.35">
      <c r="A120" s="4"/>
      <c r="E120" s="5"/>
    </row>
    <row r="121" spans="1:5" x14ac:dyDescent="0.35">
      <c r="A121" s="4" t="s">
        <v>8</v>
      </c>
      <c r="B121">
        <v>7.4999999999999997E-2</v>
      </c>
      <c r="E121" s="5"/>
    </row>
    <row r="122" spans="1:5" x14ac:dyDescent="0.35">
      <c r="A122" s="4" t="s">
        <v>9</v>
      </c>
      <c r="B122">
        <v>0.1</v>
      </c>
      <c r="E122" s="5"/>
    </row>
    <row r="123" spans="1:5" x14ac:dyDescent="0.35">
      <c r="A123" s="4" t="s">
        <v>1</v>
      </c>
      <c r="B123" t="s">
        <v>93</v>
      </c>
      <c r="E123" s="5"/>
    </row>
    <row r="124" spans="1:5" x14ac:dyDescent="0.35">
      <c r="A124" s="4"/>
      <c r="E124" s="5"/>
    </row>
    <row r="125" spans="1:5" x14ac:dyDescent="0.35">
      <c r="A125" s="4"/>
      <c r="E125" s="5"/>
    </row>
    <row r="126" spans="1:5" x14ac:dyDescent="0.35">
      <c r="A126" s="4"/>
      <c r="E126" s="5"/>
    </row>
    <row r="127" spans="1:5" x14ac:dyDescent="0.35">
      <c r="A127" s="4"/>
      <c r="B127" t="s">
        <v>10</v>
      </c>
      <c r="C127" t="s">
        <v>7</v>
      </c>
      <c r="E127" s="5" t="s">
        <v>5</v>
      </c>
    </row>
    <row r="128" spans="1:5" x14ac:dyDescent="0.35">
      <c r="A128" s="4" t="s">
        <v>2</v>
      </c>
      <c r="B128" s="9" t="s">
        <v>92</v>
      </c>
      <c r="C128" s="11">
        <v>0.45799768518518519</v>
      </c>
      <c r="D128">
        <v>570</v>
      </c>
      <c r="E128" s="12"/>
    </row>
    <row r="129" spans="1:5" x14ac:dyDescent="0.35">
      <c r="A129" s="4" t="s">
        <v>3</v>
      </c>
      <c r="B129" s="9">
        <v>46073</v>
      </c>
      <c r="C129" s="11">
        <v>0.46843750000000001</v>
      </c>
      <c r="D129">
        <v>630</v>
      </c>
      <c r="E129" s="5"/>
    </row>
    <row r="130" spans="1:5" x14ac:dyDescent="0.35">
      <c r="A130" s="4" t="s">
        <v>4</v>
      </c>
      <c r="B130" s="9">
        <v>46083</v>
      </c>
      <c r="C130" s="11">
        <v>0.62638888888888888</v>
      </c>
      <c r="D130">
        <v>15267</v>
      </c>
      <c r="E130" s="5"/>
    </row>
    <row r="131" spans="1:5" x14ac:dyDescent="0.35">
      <c r="A131" s="6" t="s">
        <v>34</v>
      </c>
      <c r="B131" s="10">
        <v>46089</v>
      </c>
      <c r="C131" s="13">
        <v>0.81041666666666667</v>
      </c>
      <c r="D131" s="13"/>
      <c r="E131" s="8"/>
    </row>
    <row r="134" spans="1:5" x14ac:dyDescent="0.35">
      <c r="A134" s="1" t="s">
        <v>51</v>
      </c>
      <c r="B134" s="2"/>
      <c r="C134" s="2"/>
      <c r="D134" s="2"/>
      <c r="E134" s="3"/>
    </row>
    <row r="135" spans="1:5" x14ac:dyDescent="0.35">
      <c r="A135" s="4"/>
      <c r="E135" s="5"/>
    </row>
    <row r="136" spans="1:5" x14ac:dyDescent="0.35">
      <c r="A136" s="4" t="s">
        <v>8</v>
      </c>
      <c r="B136">
        <v>0.14000000000000001</v>
      </c>
      <c r="E136" s="5"/>
    </row>
    <row r="137" spans="1:5" x14ac:dyDescent="0.35">
      <c r="A137" s="4" t="s">
        <v>9</v>
      </c>
      <c r="B137">
        <v>0.1</v>
      </c>
      <c r="E137" s="5"/>
    </row>
    <row r="138" spans="1:5" x14ac:dyDescent="0.35">
      <c r="A138" s="4" t="s">
        <v>100</v>
      </c>
      <c r="B138">
        <v>0.43</v>
      </c>
      <c r="E138" s="5"/>
    </row>
    <row r="139" spans="1:5" x14ac:dyDescent="0.35">
      <c r="A139" s="4" t="s">
        <v>1</v>
      </c>
      <c r="E139" s="5"/>
    </row>
    <row r="140" spans="1:5" x14ac:dyDescent="0.35">
      <c r="A140" s="4"/>
      <c r="E140" s="5"/>
    </row>
    <row r="141" spans="1:5" x14ac:dyDescent="0.35">
      <c r="A141" s="4"/>
      <c r="E141" s="5"/>
    </row>
    <row r="142" spans="1:5" x14ac:dyDescent="0.35">
      <c r="A142" s="4"/>
      <c r="E142" s="5"/>
    </row>
    <row r="143" spans="1:5" x14ac:dyDescent="0.35">
      <c r="A143" s="4"/>
      <c r="B143" t="s">
        <v>10</v>
      </c>
      <c r="C143" t="s">
        <v>7</v>
      </c>
      <c r="E143" s="5" t="s">
        <v>5</v>
      </c>
    </row>
    <row r="144" spans="1:5" x14ac:dyDescent="0.35">
      <c r="A144" s="4" t="s">
        <v>2</v>
      </c>
      <c r="B144" s="9">
        <v>46109</v>
      </c>
      <c r="C144" s="11">
        <v>0.42186342592592591</v>
      </c>
      <c r="D144">
        <v>425</v>
      </c>
      <c r="E144" s="12"/>
    </row>
    <row r="145" spans="1:5" x14ac:dyDescent="0.35">
      <c r="A145" s="4" t="s">
        <v>3</v>
      </c>
      <c r="B145" s="9">
        <f>B144</f>
        <v>46109</v>
      </c>
      <c r="C145" s="11">
        <v>0.43228009259259259</v>
      </c>
      <c r="D145">
        <v>485</v>
      </c>
      <c r="E145" s="5"/>
    </row>
    <row r="146" spans="1:5" x14ac:dyDescent="0.35">
      <c r="A146" s="4" t="s">
        <v>4</v>
      </c>
      <c r="B146" s="9">
        <v>46119</v>
      </c>
      <c r="C146" s="11">
        <v>0.43550925925925926</v>
      </c>
      <c r="D146">
        <v>1923</v>
      </c>
      <c r="E146" s="5"/>
    </row>
    <row r="147" spans="1:5" x14ac:dyDescent="0.35">
      <c r="A147" s="6" t="s">
        <v>34</v>
      </c>
      <c r="B147" s="10">
        <v>46123</v>
      </c>
      <c r="C147" s="13"/>
      <c r="D147" s="13"/>
      <c r="E147" s="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FEABD-52A4-4844-A884-6829F077B8ED}">
  <dimension ref="A2:K36"/>
  <sheetViews>
    <sheetView zoomScale="86" workbookViewId="0">
      <selection activeCell="I48" sqref="I48"/>
    </sheetView>
  </sheetViews>
  <sheetFormatPr baseColWidth="10" defaultColWidth="8.6328125" defaultRowHeight="14.5" x14ac:dyDescent="0.35"/>
  <cols>
    <col min="1" max="1" width="67" bestFit="1" customWidth="1"/>
    <col min="2" max="10" width="11.26953125" bestFit="1" customWidth="1"/>
    <col min="11" max="11" width="12.26953125" bestFit="1" customWidth="1"/>
  </cols>
  <sheetData>
    <row r="2" spans="1:11" x14ac:dyDescent="0.35">
      <c r="A2" s="24" t="s">
        <v>38</v>
      </c>
    </row>
    <row r="3" spans="1:11" x14ac:dyDescent="0.35">
      <c r="A3" s="24" t="s">
        <v>40</v>
      </c>
      <c r="C3" s="24" t="s">
        <v>47</v>
      </c>
      <c r="H3" s="24" t="s">
        <v>48</v>
      </c>
      <c r="J3" s="24" t="s">
        <v>83</v>
      </c>
    </row>
    <row r="4" spans="1:11" x14ac:dyDescent="0.35">
      <c r="B4" s="19" t="s">
        <v>0</v>
      </c>
      <c r="C4" s="20" t="s">
        <v>12</v>
      </c>
      <c r="D4" s="19" t="s">
        <v>11</v>
      </c>
      <c r="E4" s="19" t="s">
        <v>16</v>
      </c>
      <c r="F4" s="19" t="s">
        <v>15</v>
      </c>
      <c r="G4" s="19" t="s">
        <v>14</v>
      </c>
      <c r="H4" s="20" t="s">
        <v>13</v>
      </c>
      <c r="I4" s="21" t="s">
        <v>39</v>
      </c>
      <c r="J4" s="20" t="s">
        <v>50</v>
      </c>
      <c r="K4" s="45" t="s">
        <v>51</v>
      </c>
    </row>
    <row r="5" spans="1:11" x14ac:dyDescent="0.35">
      <c r="A5" s="16" t="s">
        <v>57</v>
      </c>
      <c r="B5" s="36"/>
      <c r="C5" s="37" t="s">
        <v>61</v>
      </c>
      <c r="D5" s="37" t="s">
        <v>61</v>
      </c>
      <c r="E5" s="37" t="s">
        <v>61</v>
      </c>
      <c r="F5" s="37"/>
      <c r="G5" s="37" t="s">
        <v>71</v>
      </c>
      <c r="H5" s="37"/>
      <c r="I5" s="37"/>
      <c r="J5" s="38"/>
      <c r="K5" s="16"/>
    </row>
    <row r="6" spans="1:11" x14ac:dyDescent="0.35">
      <c r="A6" s="16" t="s">
        <v>58</v>
      </c>
      <c r="B6" s="37"/>
      <c r="C6" s="37" t="s">
        <v>61</v>
      </c>
      <c r="D6" s="37"/>
      <c r="E6" s="37"/>
      <c r="F6" s="37"/>
      <c r="G6" s="37"/>
      <c r="H6" s="37"/>
      <c r="I6" s="37"/>
      <c r="J6" s="38"/>
      <c r="K6" s="16"/>
    </row>
    <row r="7" spans="1:11" x14ac:dyDescent="0.35">
      <c r="A7" s="16" t="s">
        <v>59</v>
      </c>
      <c r="B7" s="37" t="s">
        <v>61</v>
      </c>
      <c r="C7" s="37" t="s">
        <v>61</v>
      </c>
      <c r="D7" s="37" t="s">
        <v>61</v>
      </c>
      <c r="E7" s="37" t="s">
        <v>61</v>
      </c>
      <c r="F7" s="37"/>
      <c r="G7" s="37"/>
      <c r="H7" s="37" t="s">
        <v>76</v>
      </c>
      <c r="I7" s="37"/>
      <c r="J7" s="38"/>
      <c r="K7" s="16"/>
    </row>
    <row r="8" spans="1:11" x14ac:dyDescent="0.35">
      <c r="A8" s="16" t="s">
        <v>72</v>
      </c>
      <c r="B8" s="37"/>
      <c r="C8" s="37"/>
      <c r="D8" s="37"/>
      <c r="E8" s="37"/>
      <c r="F8" s="37" t="s">
        <v>61</v>
      </c>
      <c r="G8" s="37" t="s">
        <v>61</v>
      </c>
      <c r="H8" s="37"/>
      <c r="I8" s="37"/>
      <c r="J8" s="38"/>
      <c r="K8" s="16"/>
    </row>
    <row r="9" spans="1:11" x14ac:dyDescent="0.35">
      <c r="A9" s="16" t="s">
        <v>60</v>
      </c>
      <c r="B9" s="37"/>
      <c r="C9" s="37"/>
      <c r="D9" s="37"/>
      <c r="E9" s="37"/>
      <c r="F9" s="37"/>
      <c r="G9" s="37" t="s">
        <v>61</v>
      </c>
      <c r="H9" s="37" t="s">
        <v>76</v>
      </c>
      <c r="I9" s="37" t="s">
        <v>61</v>
      </c>
      <c r="J9" s="36" t="s">
        <v>61</v>
      </c>
      <c r="K9" s="16"/>
    </row>
    <row r="10" spans="1:11" x14ac:dyDescent="0.35">
      <c r="A10" s="16" t="s">
        <v>73</v>
      </c>
      <c r="B10" s="37" t="s">
        <v>61</v>
      </c>
      <c r="C10" s="37"/>
      <c r="D10" s="37"/>
      <c r="E10" s="37"/>
      <c r="F10" s="37"/>
      <c r="G10" s="37"/>
      <c r="H10" s="37" t="s">
        <v>61</v>
      </c>
      <c r="I10" s="37" t="s">
        <v>61</v>
      </c>
      <c r="J10" s="38"/>
      <c r="K10" s="16"/>
    </row>
    <row r="11" spans="1:11" x14ac:dyDescent="0.35">
      <c r="A11" s="16" t="s">
        <v>56</v>
      </c>
      <c r="B11" s="37"/>
      <c r="C11" s="37"/>
      <c r="D11" s="37"/>
      <c r="E11" s="37"/>
      <c r="F11" s="37"/>
      <c r="G11" s="37"/>
      <c r="H11" s="37" t="s">
        <v>61</v>
      </c>
      <c r="I11" s="37" t="s">
        <v>76</v>
      </c>
      <c r="J11" s="38"/>
      <c r="K11" s="16"/>
    </row>
    <row r="12" spans="1:11" x14ac:dyDescent="0.35">
      <c r="A12" s="16" t="s">
        <v>63</v>
      </c>
      <c r="B12" s="37" t="s">
        <v>64</v>
      </c>
      <c r="C12" s="37" t="s">
        <v>66</v>
      </c>
      <c r="D12" s="37" t="s">
        <v>66</v>
      </c>
      <c r="E12" s="37" t="s">
        <v>66</v>
      </c>
      <c r="F12" s="37" t="s">
        <v>66</v>
      </c>
      <c r="G12" s="37" t="s">
        <v>66</v>
      </c>
      <c r="H12" s="37" t="s">
        <v>76</v>
      </c>
      <c r="I12" s="37" t="s">
        <v>78</v>
      </c>
      <c r="J12" s="38" t="s">
        <v>81</v>
      </c>
      <c r="K12" s="16"/>
    </row>
    <row r="13" spans="1:11" x14ac:dyDescent="0.35">
      <c r="A13" s="16" t="s">
        <v>65</v>
      </c>
      <c r="B13" s="37" t="s">
        <v>61</v>
      </c>
      <c r="C13" s="37" t="s">
        <v>61</v>
      </c>
      <c r="D13" s="37" t="s">
        <v>61</v>
      </c>
      <c r="E13" s="37" t="s">
        <v>61</v>
      </c>
      <c r="F13" s="37" t="s">
        <v>61</v>
      </c>
      <c r="G13" s="37" t="s">
        <v>61</v>
      </c>
      <c r="H13" s="37" t="s">
        <v>76</v>
      </c>
      <c r="I13" s="37" t="s">
        <v>76</v>
      </c>
      <c r="J13" s="36" t="s">
        <v>82</v>
      </c>
      <c r="K13" s="16"/>
    </row>
    <row r="14" spans="1:11" x14ac:dyDescent="0.35">
      <c r="A14" s="16"/>
      <c r="B14" s="38"/>
      <c r="C14" s="38"/>
      <c r="D14" s="38"/>
      <c r="E14" s="38"/>
      <c r="F14" s="38"/>
      <c r="G14" s="38"/>
      <c r="H14" s="38"/>
      <c r="I14" s="38"/>
      <c r="J14" s="38"/>
      <c r="K14" s="16"/>
    </row>
    <row r="15" spans="1:11" x14ac:dyDescent="0.35">
      <c r="A15" s="17"/>
      <c r="B15" s="17"/>
      <c r="C15" s="17"/>
    </row>
    <row r="16" spans="1:11" x14ac:dyDescent="0.35">
      <c r="A16" s="23" t="s">
        <v>41</v>
      </c>
      <c r="B16" s="17"/>
      <c r="C16" s="17"/>
    </row>
    <row r="17" spans="1:11" x14ac:dyDescent="0.35">
      <c r="A17" s="24" t="s">
        <v>40</v>
      </c>
      <c r="C17" s="24" t="s">
        <v>47</v>
      </c>
      <c r="H17" s="24" t="s">
        <v>48</v>
      </c>
      <c r="J17" t="s">
        <v>83</v>
      </c>
    </row>
    <row r="18" spans="1:11" ht="15" thickBot="1" x14ac:dyDescent="0.4">
      <c r="B18" s="25" t="s">
        <v>0</v>
      </c>
      <c r="C18" s="26" t="s">
        <v>12</v>
      </c>
      <c r="D18" s="25" t="s">
        <v>11</v>
      </c>
      <c r="E18" s="25" t="s">
        <v>16</v>
      </c>
      <c r="F18" s="25" t="s">
        <v>15</v>
      </c>
      <c r="G18" s="25" t="s">
        <v>14</v>
      </c>
      <c r="H18" s="26" t="s">
        <v>13</v>
      </c>
      <c r="I18" s="39" t="s">
        <v>39</v>
      </c>
      <c r="J18" s="20" t="s">
        <v>50</v>
      </c>
      <c r="K18" s="45" t="s">
        <v>51</v>
      </c>
    </row>
    <row r="19" spans="1:11" x14ac:dyDescent="0.35">
      <c r="A19" s="27" t="s">
        <v>43</v>
      </c>
      <c r="B19" s="28" t="s">
        <v>61</v>
      </c>
      <c r="C19" s="29"/>
      <c r="D19" s="29" t="s">
        <v>61</v>
      </c>
      <c r="E19" s="29" t="s">
        <v>61</v>
      </c>
      <c r="F19" s="29" t="s">
        <v>61</v>
      </c>
      <c r="G19" s="29" t="s">
        <v>61</v>
      </c>
      <c r="H19" s="29"/>
      <c r="I19" s="40"/>
      <c r="J19" s="16"/>
      <c r="K19" s="16" t="s">
        <v>103</v>
      </c>
    </row>
    <row r="20" spans="1:11" x14ac:dyDescent="0.35">
      <c r="A20" s="30" t="s">
        <v>42</v>
      </c>
      <c r="B20" s="18" t="s">
        <v>61</v>
      </c>
      <c r="C20" s="18"/>
      <c r="D20" s="18" t="s">
        <v>61</v>
      </c>
      <c r="E20" s="18" t="s">
        <v>61</v>
      </c>
      <c r="F20" s="18" t="s">
        <v>61</v>
      </c>
      <c r="G20" s="18" t="s">
        <v>61</v>
      </c>
      <c r="H20" s="18"/>
      <c r="I20" s="41"/>
      <c r="J20" s="16"/>
      <c r="K20" s="16" t="s">
        <v>102</v>
      </c>
    </row>
    <row r="21" spans="1:11" x14ac:dyDescent="0.35">
      <c r="A21" s="30" t="s">
        <v>44</v>
      </c>
      <c r="B21" s="18"/>
      <c r="C21" s="18" t="s">
        <v>61</v>
      </c>
      <c r="D21" s="18"/>
      <c r="E21" s="18"/>
      <c r="F21" s="18"/>
      <c r="G21" s="18"/>
      <c r="H21" s="18" t="s">
        <v>61</v>
      </c>
      <c r="I21" s="41"/>
      <c r="J21" s="16" t="s">
        <v>61</v>
      </c>
      <c r="K21" s="16" t="s">
        <v>101</v>
      </c>
    </row>
    <row r="22" spans="1:11" x14ac:dyDescent="0.35">
      <c r="A22" s="30" t="s">
        <v>45</v>
      </c>
      <c r="B22" s="18"/>
      <c r="C22" s="18" t="s">
        <v>61</v>
      </c>
      <c r="D22" s="18"/>
      <c r="E22" s="18"/>
      <c r="F22" s="18"/>
      <c r="G22" s="18"/>
      <c r="H22" s="18" t="s">
        <v>61</v>
      </c>
      <c r="I22" s="41" t="s">
        <v>61</v>
      </c>
      <c r="J22" s="16" t="s">
        <v>61</v>
      </c>
      <c r="K22" s="16"/>
    </row>
    <row r="23" spans="1:11" x14ac:dyDescent="0.35">
      <c r="A23" s="31" t="s">
        <v>46</v>
      </c>
      <c r="B23" s="22"/>
      <c r="C23" s="22"/>
      <c r="D23" s="22"/>
      <c r="E23" s="22"/>
      <c r="F23" s="22"/>
      <c r="G23" s="22"/>
      <c r="H23" s="22"/>
      <c r="I23" s="42" t="s">
        <v>61</v>
      </c>
      <c r="J23" s="16"/>
      <c r="K23" s="16"/>
    </row>
    <row r="24" spans="1:11" x14ac:dyDescent="0.35">
      <c r="A24" s="30" t="s">
        <v>79</v>
      </c>
      <c r="B24" s="18" t="s">
        <v>61</v>
      </c>
      <c r="C24" s="18" t="s">
        <v>61</v>
      </c>
      <c r="D24" s="18" t="s">
        <v>61</v>
      </c>
      <c r="E24" s="18" t="s">
        <v>61</v>
      </c>
      <c r="F24" s="18" t="s">
        <v>61</v>
      </c>
      <c r="G24" s="18" t="s">
        <v>61</v>
      </c>
      <c r="H24" s="18" t="s">
        <v>61</v>
      </c>
      <c r="I24" s="41" t="s">
        <v>61</v>
      </c>
      <c r="J24" s="16" t="s">
        <v>61</v>
      </c>
      <c r="K24" s="16"/>
    </row>
    <row r="25" spans="1:11" ht="15" thickBot="1" x14ac:dyDescent="0.4">
      <c r="A25" s="32" t="s">
        <v>80</v>
      </c>
      <c r="B25" s="33" t="s">
        <v>61</v>
      </c>
      <c r="C25" s="33" t="s">
        <v>61</v>
      </c>
      <c r="D25" s="33" t="s">
        <v>61</v>
      </c>
      <c r="E25" s="33"/>
      <c r="F25" s="33" t="s">
        <v>61</v>
      </c>
      <c r="G25" s="33" t="s">
        <v>61</v>
      </c>
      <c r="H25" s="33" t="s">
        <v>61</v>
      </c>
      <c r="I25" s="43" t="s">
        <v>61</v>
      </c>
      <c r="J25" s="44" t="s">
        <v>61</v>
      </c>
      <c r="K25" s="16"/>
    </row>
    <row r="27" spans="1:11" x14ac:dyDescent="0.35">
      <c r="A27" s="35" t="s">
        <v>62</v>
      </c>
    </row>
    <row r="28" spans="1:11" x14ac:dyDescent="0.35">
      <c r="A28" s="16" t="s">
        <v>98</v>
      </c>
      <c r="B28" s="46" t="s">
        <v>61</v>
      </c>
      <c r="C28" s="46" t="s">
        <v>61</v>
      </c>
      <c r="D28" s="46"/>
      <c r="E28" s="46" t="s">
        <v>61</v>
      </c>
      <c r="F28" s="46"/>
      <c r="G28" s="46" t="s">
        <v>61</v>
      </c>
      <c r="H28" s="16"/>
      <c r="I28" s="16"/>
      <c r="J28" s="16"/>
      <c r="K28" s="16"/>
    </row>
    <row r="29" spans="1:11" x14ac:dyDescent="0.35">
      <c r="A29" s="16" t="s">
        <v>99</v>
      </c>
      <c r="B29" s="46" t="s">
        <v>61</v>
      </c>
      <c r="C29" s="46" t="s">
        <v>61</v>
      </c>
      <c r="D29" s="46"/>
      <c r="E29" s="46" t="s">
        <v>61</v>
      </c>
      <c r="F29" s="46"/>
      <c r="G29" s="46" t="s">
        <v>61</v>
      </c>
      <c r="H29" s="16"/>
      <c r="I29" s="16"/>
      <c r="J29" s="16"/>
      <c r="K29" s="16"/>
    </row>
    <row r="30" spans="1:11" x14ac:dyDescent="0.35">
      <c r="A30" t="s">
        <v>96</v>
      </c>
      <c r="B30">
        <v>27.7</v>
      </c>
      <c r="C30">
        <v>27.9</v>
      </c>
      <c r="D30">
        <v>28.5</v>
      </c>
      <c r="E30">
        <v>27.5</v>
      </c>
      <c r="F30">
        <v>27.5</v>
      </c>
      <c r="G30">
        <v>24.5</v>
      </c>
    </row>
    <row r="31" spans="1:11" x14ac:dyDescent="0.35">
      <c r="A31" t="s">
        <v>97</v>
      </c>
      <c r="B31">
        <v>24.1</v>
      </c>
      <c r="C31">
        <v>25.1</v>
      </c>
      <c r="D31">
        <v>23.1</v>
      </c>
      <c r="E31">
        <v>24.1</v>
      </c>
      <c r="F31">
        <v>22.1</v>
      </c>
      <c r="G31">
        <v>21.1</v>
      </c>
    </row>
    <row r="32" spans="1:11" x14ac:dyDescent="0.35">
      <c r="A32" t="s">
        <v>94</v>
      </c>
      <c r="B32">
        <v>102.2</v>
      </c>
      <c r="C32">
        <v>100.66</v>
      </c>
      <c r="D32">
        <v>103.27</v>
      </c>
      <c r="E32">
        <v>102.8</v>
      </c>
      <c r="F32">
        <v>102.48</v>
      </c>
      <c r="G32">
        <v>102.1</v>
      </c>
      <c r="H32">
        <v>104.09</v>
      </c>
    </row>
    <row r="33" spans="1:8" x14ac:dyDescent="0.35">
      <c r="A33" t="s">
        <v>95</v>
      </c>
      <c r="B33">
        <v>98.95</v>
      </c>
      <c r="C33">
        <v>99.25</v>
      </c>
      <c r="D33">
        <v>96.89</v>
      </c>
      <c r="E33">
        <v>101.82</v>
      </c>
      <c r="F33">
        <v>97.98</v>
      </c>
      <c r="G33">
        <v>98.87</v>
      </c>
      <c r="H33">
        <v>97.26</v>
      </c>
    </row>
    <row r="35" spans="1:8" x14ac:dyDescent="0.35">
      <c r="B35">
        <f>(B30-B31)/2</f>
        <v>1.7999999999999989</v>
      </c>
      <c r="C35">
        <f t="shared" ref="C35:G35" si="0">(C30-C31)/2</f>
        <v>1.3999999999999986</v>
      </c>
      <c r="D35">
        <f t="shared" si="0"/>
        <v>2.6999999999999993</v>
      </c>
      <c r="E35">
        <f t="shared" si="0"/>
        <v>1.6999999999999993</v>
      </c>
      <c r="F35">
        <f t="shared" si="0"/>
        <v>2.6999999999999993</v>
      </c>
      <c r="G35">
        <f t="shared" si="0"/>
        <v>1.6999999999999993</v>
      </c>
    </row>
    <row r="36" spans="1:8" x14ac:dyDescent="0.35">
      <c r="B36">
        <f>(B32-B33)/2</f>
        <v>1.625</v>
      </c>
      <c r="C36">
        <f t="shared" ref="C36:G36" si="1">(C32-C33)/2</f>
        <v>0.70499999999999829</v>
      </c>
      <c r="D36">
        <f t="shared" si="1"/>
        <v>3.1899999999999977</v>
      </c>
      <c r="E36">
        <f t="shared" si="1"/>
        <v>0.49000000000000199</v>
      </c>
      <c r="F36">
        <f t="shared" si="1"/>
        <v>2.25</v>
      </c>
      <c r="G36">
        <f t="shared" si="1"/>
        <v>1.6149999999999949</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2</vt:i4>
      </vt:variant>
    </vt:vector>
  </HeadingPairs>
  <TitlesOfParts>
    <vt:vector size="2" baseType="lpstr">
      <vt:lpstr>Summary</vt:lpstr>
      <vt:lpstr>Comparison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Ulrik Bøyum Strand</dc:creator>
  <cp:lastModifiedBy>Erlend Erdal Moen</cp:lastModifiedBy>
  <dcterms:created xsi:type="dcterms:W3CDTF">2026-01-08T09:48:01Z</dcterms:created>
  <dcterms:modified xsi:type="dcterms:W3CDTF">2026-05-21T13:05:39Z</dcterms:modified>
</cp:coreProperties>
</file>